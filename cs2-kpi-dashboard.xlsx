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Weekly Summary" sheetId="1" state="visible" r:id="rId1"/>
    <sheet xmlns:r="http://schemas.openxmlformats.org/officeDocument/2006/relationships" name="🏢 Property Breakdown" sheetId="2" state="visible" r:id="rId2"/>
    <sheet xmlns:r="http://schemas.openxmlformats.org/officeDocument/2006/relationships" name="📅 60-Day Planning" sheetId="3" state="visible" r:id="rId3"/>
    <sheet xmlns:r="http://schemas.openxmlformats.org/officeDocument/2006/relationships" name="📋 Data Inpu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$#,##0"/>
    <numFmt numFmtId="166" formatCode="$#,##0;($#,##0);-"/>
  </numFmts>
  <fonts count="38">
    <font>
      <name val="Calibri"/>
      <family val="2"/>
      <color theme="1"/>
      <sz val="11"/>
      <scheme val="minor"/>
    </font>
    <font>
      <name val="Arial"/>
      <b val="1"/>
      <color rgb="00C9A96E"/>
      <sz val="8"/>
    </font>
    <font>
      <name val="Arial"/>
      <b val="1"/>
      <color rgb="00FAFAF8"/>
      <sz val="16"/>
    </font>
    <font>
      <name val="Arial"/>
      <color rgb="00A8B8CC"/>
      <sz val="9"/>
    </font>
    <font>
      <name val="Arial"/>
      <b val="1"/>
      <color rgb="00C9A96E"/>
      <sz val="7"/>
    </font>
    <font>
      <name val="Arial"/>
      <b val="1"/>
      <color rgb="00FAFAF8"/>
      <sz val="6.5"/>
    </font>
    <font>
      <name val="Arial"/>
      <b val="1"/>
      <color rgb="00FAFAF8"/>
      <sz val="18"/>
    </font>
    <font>
      <name val="Arial"/>
      <color rgb="00A8B8CC"/>
      <sz val="7"/>
    </font>
    <font>
      <name val="Arial"/>
      <b val="1"/>
      <color rgb="00E2C99A"/>
      <sz val="7.5"/>
    </font>
    <font>
      <name val="Arial"/>
      <b val="1"/>
      <color rgb="00FAFAF8"/>
      <sz val="7.5"/>
    </font>
    <font>
      <name val="Arial"/>
      <color rgb="00A8B8CC"/>
      <sz val="8"/>
    </font>
    <font>
      <name val="Arial"/>
      <color rgb="00FAFAF8"/>
      <sz val="8"/>
    </font>
    <font>
      <name val="Arial"/>
      <b val="1"/>
      <color rgb="00E2C99A"/>
      <sz val="8"/>
    </font>
    <font>
      <name val="Arial"/>
      <b val="1"/>
      <color rgb="00C9A96E"/>
      <sz val="7.5"/>
    </font>
    <font>
      <name val="Arial"/>
      <b val="1"/>
      <color rgb="008A3A3A"/>
      <sz val="8"/>
    </font>
    <font>
      <name val="Arial"/>
      <color rgb="008A3A3A"/>
      <sz val="7.5"/>
    </font>
    <font>
      <name val="Arial"/>
      <b val="1"/>
      <color rgb="00B87A3A"/>
      <sz val="8"/>
    </font>
    <font>
      <name val="Arial"/>
      <color rgb="00B87A3A"/>
      <sz val="7.5"/>
    </font>
    <font>
      <name val="Arial"/>
      <b val="1"/>
      <color rgb="00A8B8CC"/>
      <sz val="8"/>
    </font>
    <font>
      <name val="Arial"/>
      <color rgb="00A8B8CC"/>
      <sz val="7.5"/>
    </font>
    <font>
      <name val="Arial"/>
      <b val="1"/>
      <color rgb="00B87A3A"/>
      <sz val="16"/>
    </font>
    <font>
      <name val="Arial"/>
      <color rgb="00718096"/>
      <sz val="7"/>
    </font>
    <font>
      <name val="Arial"/>
      <b val="1"/>
      <color rgb="004A7A5A"/>
      <sz val="16"/>
    </font>
    <font>
      <name val="Arial"/>
      <b val="1"/>
      <color rgb="008A3A3A"/>
      <sz val="16"/>
    </font>
    <font>
      <name val="Arial"/>
      <i val="1"/>
      <color rgb="00718096"/>
      <sz val="7"/>
    </font>
    <font>
      <name val="Arial"/>
      <b val="1"/>
      <color rgb="00FAFAF8"/>
      <sz val="12"/>
    </font>
    <font>
      <name val="Arial"/>
      <b val="1"/>
      <color rgb="00FAFAF8"/>
      <sz val="8"/>
    </font>
    <font>
      <name val="Arial"/>
      <color rgb="00E2C99A"/>
      <sz val="8"/>
    </font>
    <font>
      <name val="Arial"/>
      <b val="1"/>
      <color rgb="004A7A5A"/>
      <sz val="7.5"/>
    </font>
    <font>
      <name val="Arial"/>
      <b val="1"/>
      <color rgb="00B87A3A"/>
      <sz val="7.5"/>
    </font>
    <font>
      <name val="Arial"/>
      <b val="1"/>
      <color rgb="008A3A3A"/>
      <sz val="7.5"/>
    </font>
    <font>
      <name val="Arial"/>
      <color rgb="004A7A5A"/>
      <sz val="8"/>
    </font>
    <font>
      <name val="Arial"/>
      <color rgb="00B87A3A"/>
      <sz val="8"/>
    </font>
    <font>
      <name val="Arial"/>
      <b val="1"/>
      <color rgb="00FAFAF8"/>
      <sz val="10"/>
    </font>
    <font>
      <name val="Arial"/>
      <i val="1"/>
      <color rgb="00A8B8CC"/>
      <sz val="8"/>
    </font>
    <font>
      <name val="Arial"/>
      <b val="1"/>
      <color rgb="000000FF"/>
      <sz val="8"/>
    </font>
    <font>
      <name val="Arial"/>
      <color rgb="00000000"/>
      <sz val="8"/>
    </font>
    <font>
      <name val="Arial"/>
      <b val="1"/>
      <color rgb="004A7A5A"/>
      <sz val="8"/>
    </font>
  </fonts>
  <fills count="8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C9A96E"/>
      </patternFill>
    </fill>
    <fill>
      <patternFill patternType="solid">
        <fgColor rgb="001F2B4A"/>
      </patternFill>
    </fill>
    <fill>
      <patternFill patternType="solid">
        <fgColor rgb="004A7A5A"/>
      </patternFill>
    </fill>
    <fill>
      <patternFill patternType="solid">
        <fgColor rgb="00B87A3A"/>
      </patternFill>
    </fill>
    <fill>
      <patternFill patternType="solid">
        <fgColor rgb="0016213E"/>
      </patternFill>
    </fill>
  </fills>
  <borders count="3">
    <border>
      <left/>
      <right/>
      <top/>
      <bottom/>
      <diagonal/>
    </border>
    <border>
      <bottom style="thin">
        <color rgb="00C9A96E"/>
      </bottom>
    </border>
    <border>
      <top style="thin">
        <color rgb="00C9A96E"/>
      </top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right" vertical="center"/>
    </xf>
    <xf numFmtId="0" fontId="0" fillId="3" borderId="0" pivotButton="0" quotePrefix="0" xfId="0"/>
    <xf numFmtId="0" fontId="4" fillId="2" borderId="0" applyAlignment="1" pivotButton="0" quotePrefix="0" xfId="0">
      <alignment horizontal="left" vertical="center"/>
    </xf>
    <xf numFmtId="0" fontId="0" fillId="5" borderId="0" pivotButton="0" quotePrefix="0" xfId="0"/>
    <xf numFmtId="0" fontId="0" fillId="6" borderId="0" pivotButton="0" quotePrefix="0" xfId="0"/>
    <xf numFmtId="0" fontId="5" fillId="4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6" fillId="4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9" fillId="4" borderId="1" applyAlignment="1" pivotButton="0" quotePrefix="0" xfId="0">
      <alignment horizontal="left" vertical="center"/>
    </xf>
    <xf numFmtId="0" fontId="9" fillId="4" borderId="1" applyAlignment="1" pivotButton="0" quotePrefix="0" xfId="0">
      <alignment horizontal="center" vertical="center"/>
    </xf>
    <xf numFmtId="0" fontId="10" fillId="4" borderId="0" applyAlignment="1" pivotButton="0" quotePrefix="0" xfId="0">
      <alignment horizontal="left" vertical="center"/>
    </xf>
    <xf numFmtId="0" fontId="11" fillId="4" borderId="0" applyAlignment="1" pivotButton="0" quotePrefix="0" xfId="0">
      <alignment horizontal="center" vertical="center"/>
    </xf>
    <xf numFmtId="164" fontId="12" fillId="4" borderId="0" applyAlignment="1" pivotButton="0" quotePrefix="0" xfId="0">
      <alignment horizontal="center" vertical="center"/>
    </xf>
    <xf numFmtId="0" fontId="10" fillId="7" borderId="0" applyAlignment="1" pivotButton="0" quotePrefix="0" xfId="0">
      <alignment horizontal="left" vertical="center"/>
    </xf>
    <xf numFmtId="0" fontId="11" fillId="7" borderId="0" applyAlignment="1" pivotButton="0" quotePrefix="0" xfId="0">
      <alignment horizontal="center" vertical="center"/>
    </xf>
    <xf numFmtId="164" fontId="12" fillId="7" borderId="0" applyAlignment="1" pivotButton="0" quotePrefix="0" xfId="0">
      <alignment horizontal="center" vertical="center"/>
    </xf>
    <xf numFmtId="0" fontId="13" fillId="4" borderId="2" applyAlignment="1" pivotButton="0" quotePrefix="0" xfId="0">
      <alignment horizontal="left" vertical="center"/>
    </xf>
    <xf numFmtId="0" fontId="13" fillId="4" borderId="2" applyAlignment="1" pivotButton="0" quotePrefix="0" xfId="0">
      <alignment horizontal="center" vertical="center"/>
    </xf>
    <xf numFmtId="164" fontId="13" fillId="4" borderId="2" applyAlignment="1" pivotButton="0" quotePrefix="0" xfId="0">
      <alignment horizontal="center" vertical="center"/>
    </xf>
    <xf numFmtId="0" fontId="10" fillId="4" borderId="0" applyAlignment="1" pivotButton="0" quotePrefix="0" xfId="0">
      <alignment horizontal="center" vertical="center"/>
    </xf>
    <xf numFmtId="0" fontId="14" fillId="4" borderId="0" applyAlignment="1" pivotButton="0" quotePrefix="0" xfId="0">
      <alignment horizontal="center" vertical="center"/>
    </xf>
    <xf numFmtId="0" fontId="15" fillId="4" borderId="0" applyAlignment="1" pivotButton="0" quotePrefix="0" xfId="0">
      <alignment horizontal="center" vertical="center"/>
    </xf>
    <xf numFmtId="0" fontId="10" fillId="7" borderId="0" applyAlignment="1" pivotButton="0" quotePrefix="0" xfId="0">
      <alignment horizontal="center" vertical="center"/>
    </xf>
    <xf numFmtId="0" fontId="14" fillId="7" borderId="0" applyAlignment="1" pivotButton="0" quotePrefix="0" xfId="0">
      <alignment horizontal="center" vertical="center"/>
    </xf>
    <xf numFmtId="0" fontId="15" fillId="7" borderId="0" applyAlignment="1" pivotButton="0" quotePrefix="0" xfId="0">
      <alignment horizontal="center" vertical="center"/>
    </xf>
    <xf numFmtId="0" fontId="16" fillId="4" borderId="0" applyAlignment="1" pivotButton="0" quotePrefix="0" xfId="0">
      <alignment horizontal="center" vertical="center"/>
    </xf>
    <xf numFmtId="0" fontId="17" fillId="4" borderId="0" applyAlignment="1" pivotButton="0" quotePrefix="0" xfId="0">
      <alignment horizontal="center" vertical="center"/>
    </xf>
    <xf numFmtId="0" fontId="16" fillId="7" borderId="0" applyAlignment="1" pivotButton="0" quotePrefix="0" xfId="0">
      <alignment horizontal="center" vertical="center"/>
    </xf>
    <xf numFmtId="0" fontId="17" fillId="7" borderId="0" applyAlignment="1" pivotButton="0" quotePrefix="0" xfId="0">
      <alignment horizontal="center" vertical="center"/>
    </xf>
    <xf numFmtId="0" fontId="18" fillId="4" borderId="0" applyAlignment="1" pivotButton="0" quotePrefix="0" xfId="0">
      <alignment horizontal="center" vertical="center"/>
    </xf>
    <xf numFmtId="0" fontId="19" fillId="4" borderId="0" applyAlignment="1" pivotButton="0" quotePrefix="0" xfId="0">
      <alignment horizontal="center" vertical="center"/>
    </xf>
    <xf numFmtId="0" fontId="18" fillId="7" borderId="0" applyAlignment="1" pivotButton="0" quotePrefix="0" xfId="0">
      <alignment horizontal="center" vertical="center"/>
    </xf>
    <xf numFmtId="0" fontId="19" fillId="7" borderId="0" applyAlignment="1" pivotButton="0" quotePrefix="0" xfId="0">
      <alignment horizontal="center" vertical="center"/>
    </xf>
    <xf numFmtId="0" fontId="20" fillId="4" borderId="0" applyAlignment="1" pivotButton="0" quotePrefix="0" xfId="0">
      <alignment horizontal="center" vertical="center"/>
    </xf>
    <xf numFmtId="0" fontId="22" fillId="4" borderId="0" applyAlignment="1" pivotButton="0" quotePrefix="0" xfId="0">
      <alignment horizontal="center" vertical="center"/>
    </xf>
    <xf numFmtId="0" fontId="23" fillId="4" borderId="0" applyAlignment="1" pivotButton="0" quotePrefix="0" xfId="0">
      <alignment horizontal="center" vertical="center"/>
    </xf>
    <xf numFmtId="0" fontId="21" fillId="4" borderId="0" applyAlignment="1" pivotButton="0" quotePrefix="0" xfId="0">
      <alignment horizontal="center" vertical="center"/>
    </xf>
    <xf numFmtId="0" fontId="24" fillId="2" borderId="0" applyAlignment="1" pivotButton="0" quotePrefix="0" xfId="0">
      <alignment horizontal="center" vertical="center"/>
    </xf>
    <xf numFmtId="0" fontId="25" fillId="2" borderId="0" applyAlignment="1" pivotButton="0" quotePrefix="0" xfId="0">
      <alignment horizontal="left" vertical="center"/>
    </xf>
    <xf numFmtId="0" fontId="26" fillId="4" borderId="1" applyAlignment="1" pivotButton="0" quotePrefix="0" xfId="0">
      <alignment horizontal="left" vertical="center"/>
    </xf>
    <xf numFmtId="0" fontId="26" fillId="4" borderId="1" applyAlignment="1" pivotButton="0" quotePrefix="0" xfId="0">
      <alignment horizontal="center" vertical="center"/>
    </xf>
    <xf numFmtId="0" fontId="18" fillId="4" borderId="0" applyAlignment="1" pivotButton="0" quotePrefix="0" xfId="0">
      <alignment horizontal="left" vertical="center"/>
    </xf>
    <xf numFmtId="0" fontId="27" fillId="4" borderId="0" applyAlignment="1" pivotButton="0" quotePrefix="0" xfId="0">
      <alignment horizontal="center" vertical="center"/>
    </xf>
    <xf numFmtId="0" fontId="24" fillId="7" borderId="0" applyAlignment="1" pivotButton="0" quotePrefix="0" xfId="0">
      <alignment horizontal="left" vertical="center"/>
    </xf>
    <xf numFmtId="0" fontId="0" fillId="7" borderId="0" pivotButton="0" quotePrefix="0" xfId="0"/>
    <xf numFmtId="9" fontId="28" fillId="7" borderId="0" applyAlignment="1" pivotButton="0" quotePrefix="0" xfId="0">
      <alignment horizontal="center" vertical="center"/>
    </xf>
    <xf numFmtId="0" fontId="18" fillId="7" borderId="0" applyAlignment="1" pivotButton="0" quotePrefix="0" xfId="0">
      <alignment horizontal="left" vertical="center"/>
    </xf>
    <xf numFmtId="0" fontId="27" fillId="7" borderId="0" applyAlignment="1" pivotButton="0" quotePrefix="0" xfId="0">
      <alignment horizontal="center" vertical="center"/>
    </xf>
    <xf numFmtId="9" fontId="29" fillId="7" borderId="0" applyAlignment="1" pivotButton="0" quotePrefix="0" xfId="0">
      <alignment horizontal="center" vertical="center"/>
    </xf>
    <xf numFmtId="9" fontId="30" fillId="7" borderId="0" applyAlignment="1" pivotButton="0" quotePrefix="0" xfId="0">
      <alignment horizontal="center" vertical="center"/>
    </xf>
    <xf numFmtId="165" fontId="10" fillId="4" borderId="0" applyAlignment="1" pivotButton="0" quotePrefix="0" xfId="0">
      <alignment horizontal="center" vertical="center"/>
    </xf>
    <xf numFmtId="165" fontId="27" fillId="4" borderId="0" applyAlignment="1" pivotButton="0" quotePrefix="0" xfId="0">
      <alignment horizontal="center" vertical="center"/>
    </xf>
    <xf numFmtId="165" fontId="10" fillId="7" borderId="0" applyAlignment="1" pivotButton="0" quotePrefix="0" xfId="0">
      <alignment horizontal="center" vertical="center"/>
    </xf>
    <xf numFmtId="165" fontId="27" fillId="7" borderId="0" applyAlignment="1" pivotButton="0" quotePrefix="0" xfId="0">
      <alignment horizontal="center" vertical="center"/>
    </xf>
    <xf numFmtId="0" fontId="13" fillId="4" borderId="0" applyAlignment="1" pivotButton="0" quotePrefix="0" xfId="0">
      <alignment horizontal="left" vertical="center"/>
    </xf>
    <xf numFmtId="165" fontId="1" fillId="4" borderId="2" applyAlignment="1" pivotButton="0" quotePrefix="0" xfId="0">
      <alignment horizontal="center" vertical="center"/>
    </xf>
    <xf numFmtId="0" fontId="19" fillId="4" borderId="0" applyAlignment="1" pivotButton="0" quotePrefix="0" xfId="0">
      <alignment horizontal="left" vertical="center"/>
    </xf>
    <xf numFmtId="0" fontId="19" fillId="7" borderId="0" applyAlignment="1" pivotButton="0" quotePrefix="0" xfId="0">
      <alignment horizontal="left" vertical="center"/>
    </xf>
    <xf numFmtId="0" fontId="31" fillId="4" borderId="0" applyAlignment="1" pivotButton="0" quotePrefix="0" xfId="0">
      <alignment horizontal="center" vertical="center"/>
    </xf>
    <xf numFmtId="0" fontId="31" fillId="7" borderId="0" applyAlignment="1" pivotButton="0" quotePrefix="0" xfId="0">
      <alignment horizontal="center" vertical="center"/>
    </xf>
    <xf numFmtId="0" fontId="32" fillId="4" borderId="0" applyAlignment="1" pivotButton="0" quotePrefix="0" xfId="0">
      <alignment horizontal="center" vertical="center"/>
    </xf>
    <xf numFmtId="0" fontId="32" fillId="7" borderId="0" applyAlignment="1" pivotButton="0" quotePrefix="0" xfId="0">
      <alignment horizontal="center" vertical="center"/>
    </xf>
    <xf numFmtId="0" fontId="33" fillId="2" borderId="0" applyAlignment="1" pivotButton="0" quotePrefix="0" xfId="0">
      <alignment horizontal="left" vertical="center"/>
    </xf>
    <xf numFmtId="0" fontId="34" fillId="2" borderId="0" applyAlignment="1" pivotButton="0" quotePrefix="0" xfId="0">
      <alignment horizontal="left" vertical="center"/>
    </xf>
    <xf numFmtId="0" fontId="35" fillId="4" borderId="0" applyAlignment="1" pivotButton="0" quotePrefix="0" xfId="0">
      <alignment horizontal="center" vertical="center"/>
    </xf>
    <xf numFmtId="0" fontId="35" fillId="7" borderId="0" applyAlignment="1" pivotButton="0" quotePrefix="0" xfId="0">
      <alignment horizontal="center" vertical="center"/>
    </xf>
    <xf numFmtId="165" fontId="35" fillId="4" borderId="0" applyAlignment="1" pivotButton="0" quotePrefix="0" xfId="0">
      <alignment horizontal="center" vertical="center"/>
    </xf>
    <xf numFmtId="165" fontId="36" fillId="4" borderId="0" applyAlignment="1" pivotButton="0" quotePrefix="0" xfId="0">
      <alignment horizontal="center" vertical="center"/>
    </xf>
    <xf numFmtId="166" fontId="37" fillId="4" borderId="0" applyAlignment="1" pivotButton="0" quotePrefix="0" xfId="0">
      <alignment horizontal="center" vertical="center"/>
    </xf>
    <xf numFmtId="165" fontId="35" fillId="7" borderId="0" applyAlignment="1" pivotButton="0" quotePrefix="0" xfId="0">
      <alignment horizontal="center" vertical="center"/>
    </xf>
    <xf numFmtId="165" fontId="36" fillId="7" borderId="0" applyAlignment="1" pivotButton="0" quotePrefix="0" xfId="0">
      <alignment horizontal="center" vertical="center"/>
    </xf>
    <xf numFmtId="166" fontId="37" fillId="7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9A96E"/>
    <outlinePr summaryBelow="1" summaryRight="1"/>
    <pageSetUpPr/>
  </sheetPr>
  <dimension ref="A1:H4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4" customWidth="1" min="7" max="7"/>
    <col width="2" customWidth="1" min="8" max="8"/>
  </cols>
  <sheetData>
    <row r="1" ht="18" customHeight="1">
      <c r="A1" s="1" t="n"/>
      <c r="B1" s="1" t="n"/>
      <c r="C1" s="1" t="n"/>
      <c r="D1" s="1" t="n"/>
      <c r="E1" s="1" t="n"/>
      <c r="F1" s="1" t="n"/>
      <c r="G1" s="1" t="n"/>
      <c r="H1" s="1" t="n"/>
    </row>
    <row r="2" ht="18" customHeight="1">
      <c r="A2" s="1" t="n"/>
      <c r="B2" s="2" t="inlineStr">
        <is>
          <t>GROUNDWORK PROPERTY MANAGEMENT</t>
        </is>
      </c>
      <c r="C2" s="1" t="n"/>
      <c r="D2" s="1" t="n"/>
      <c r="E2" s="1" t="n"/>
      <c r="F2" s="1" t="n"/>
      <c r="G2" s="1" t="n"/>
      <c r="H2" s="1" t="n"/>
    </row>
    <row r="3" ht="28" customHeight="1">
      <c r="A3" s="1" t="n"/>
      <c r="B3" s="3" t="inlineStr">
        <is>
          <t>Weekly Performance Dashboard</t>
        </is>
      </c>
      <c r="C3" s="1" t="n"/>
      <c r="D3" s="1" t="n"/>
      <c r="E3" s="1" t="n"/>
      <c r="F3" s="4" t="inlineStr">
        <is>
          <t>Week of April 09, 2026</t>
        </is>
      </c>
      <c r="G3" s="1" t="n"/>
      <c r="H3" s="1" t="n"/>
    </row>
    <row r="4" ht="2" customHeight="1">
      <c r="A4" s="1" t="n"/>
      <c r="B4" s="5" t="n"/>
      <c r="C4" s="5" t="n"/>
      <c r="D4" s="5" t="n"/>
      <c r="E4" s="5" t="n"/>
      <c r="F4" s="5" t="n"/>
      <c r="G4" s="5" t="n"/>
      <c r="H4" s="1" t="n"/>
    </row>
    <row r="5" ht="18" customHeight="1">
      <c r="A5" s="1" t="n"/>
      <c r="B5" s="1" t="n"/>
      <c r="C5" s="1" t="n"/>
      <c r="D5" s="1" t="n"/>
      <c r="E5" s="1" t="n"/>
      <c r="F5" s="1" t="n"/>
      <c r="G5" s="1" t="n"/>
      <c r="H5" s="1" t="n"/>
    </row>
    <row r="6" ht="14" customHeight="1">
      <c r="A6" s="1" t="n"/>
      <c r="B6" s="1" t="n"/>
      <c r="C6" s="1" t="n"/>
      <c r="D6" s="1" t="n"/>
      <c r="E6" s="1" t="n"/>
      <c r="F6" s="1" t="n"/>
      <c r="G6" s="1" t="n"/>
      <c r="H6" s="1" t="n"/>
    </row>
    <row r="7" ht="16" customHeight="1">
      <c r="A7" s="1" t="n"/>
      <c r="B7" s="6" t="inlineStr">
        <is>
          <t>KEY PERFORMANCE INDICATORS</t>
        </is>
      </c>
      <c r="C7" s="1" t="n"/>
      <c r="D7" s="1" t="n"/>
      <c r="E7" s="1" t="n"/>
      <c r="F7" s="1" t="n"/>
      <c r="G7" s="1" t="n"/>
      <c r="H7" s="1" t="n"/>
    </row>
    <row r="8" ht="8" customHeight="1">
      <c r="A8" s="1" t="n"/>
      <c r="B8" s="7" t="n"/>
      <c r="C8" s="8" t="n"/>
      <c r="D8" s="7" t="n"/>
      <c r="E8" s="8" t="n"/>
      <c r="F8" s="8" t="n"/>
      <c r="G8" s="7" t="n"/>
      <c r="H8" s="1" t="n"/>
    </row>
    <row r="9" ht="22" customHeight="1">
      <c r="A9" s="1" t="n"/>
      <c r="B9" s="9" t="inlineStr">
        <is>
          <t>PORTFOLIO OCCUPANCY</t>
        </is>
      </c>
      <c r="C9" s="9" t="inlineStr">
        <is>
          <t>UNITS VACANT</t>
        </is>
      </c>
      <c r="D9" s="9" t="inlineStr">
        <is>
          <t>REVENUE MTD</t>
        </is>
      </c>
      <c r="E9" s="9" t="inlineStr">
        <is>
          <t>OPEN MAINTENANCE</t>
        </is>
      </c>
      <c r="F9" s="9" t="inlineStr">
        <is>
          <t>LEASES &lt;60 DAYS</t>
        </is>
      </c>
      <c r="G9" s="9" t="inlineStr">
        <is>
          <t>TURNOVER RATE</t>
        </is>
      </c>
      <c r="H9" s="1" t="n"/>
    </row>
    <row r="10" ht="18" customHeight="1">
      <c r="A10" s="1" t="n"/>
      <c r="B10" s="10" t="n"/>
      <c r="C10" s="10" t="n"/>
      <c r="D10" s="10" t="n"/>
      <c r="E10" s="10" t="n"/>
      <c r="F10" s="10" t="n"/>
      <c r="G10" s="10" t="n"/>
      <c r="H10" s="1" t="n"/>
    </row>
    <row r="11" ht="32" customHeight="1">
      <c r="A11" s="1" t="n"/>
      <c r="B11" s="11" t="inlineStr">
        <is>
          <t>93.2%</t>
        </is>
      </c>
      <c r="C11" s="11" t="inlineStr">
        <is>
          <t>4</t>
        </is>
      </c>
      <c r="D11" s="11" t="inlineStr">
        <is>
          <t>$48,240</t>
        </is>
      </c>
      <c r="E11" s="11" t="inlineStr">
        <is>
          <t>11</t>
        </is>
      </c>
      <c r="F11" s="11" t="inlineStr">
        <is>
          <t>7</t>
        </is>
      </c>
      <c r="G11" s="11" t="inlineStr">
        <is>
          <t>18%</t>
        </is>
      </c>
      <c r="H11" s="1" t="n"/>
    </row>
    <row r="12" ht="18" customHeight="1">
      <c r="A12" s="1" t="n"/>
      <c r="B12" s="12" t="inlineStr">
        <is>
          <t>Target: 95%</t>
        </is>
      </c>
      <c r="C12" s="12" t="inlineStr">
        <is>
          <t>Target: ≤3 units</t>
        </is>
      </c>
      <c r="D12" s="12" t="inlineStr">
        <is>
          <t>Target: $46,500</t>
        </is>
      </c>
      <c r="E12" s="12" t="inlineStr">
        <is>
          <t>Target: ≤8 open</t>
        </is>
      </c>
      <c r="F12" s="12" t="inlineStr">
        <is>
          <t>Target: Action req.</t>
        </is>
      </c>
      <c r="G12" s="12" t="inlineStr">
        <is>
          <t>Target: &lt;20%</t>
        </is>
      </c>
      <c r="H12" s="1" t="n"/>
    </row>
    <row r="13" ht="18" customHeight="1">
      <c r="A13" s="1" t="n"/>
      <c r="B13" s="13" t="inlineStr">
        <is>
          <t>↑ +1.4%</t>
        </is>
      </c>
      <c r="C13" s="13" t="inlineStr">
        <is>
          <t>↑ +1 unit</t>
        </is>
      </c>
      <c r="D13" s="13" t="inlineStr">
        <is>
          <t>↑ +$1,740</t>
        </is>
      </c>
      <c r="E13" s="13" t="inlineStr">
        <is>
          <t>↓ -3</t>
        </is>
      </c>
      <c r="F13" s="13" t="inlineStr">
        <is>
          <t>—</t>
        </is>
      </c>
      <c r="G13" s="13" t="inlineStr">
        <is>
          <t>↓ -6%</t>
        </is>
      </c>
      <c r="H13" s="1" t="n"/>
    </row>
    <row r="14" ht="8" customHeight="1">
      <c r="A14" s="1" t="n"/>
      <c r="B14" s="10" t="n"/>
      <c r="C14" s="10" t="n"/>
      <c r="D14" s="10" t="n"/>
      <c r="E14" s="10" t="n"/>
      <c r="F14" s="10" t="n"/>
      <c r="G14" s="10" t="n"/>
      <c r="H14" s="1" t="n"/>
    </row>
    <row r="15" ht="8" customHeight="1">
      <c r="A15" s="1" t="n"/>
      <c r="B15" s="10" t="n"/>
      <c r="C15" s="10" t="n"/>
      <c r="D15" s="10" t="n"/>
      <c r="E15" s="10" t="n"/>
      <c r="F15" s="10" t="n"/>
      <c r="G15" s="10" t="n"/>
      <c r="H15" s="1" t="n"/>
    </row>
    <row r="16" ht="12" customHeight="1">
      <c r="A16" s="1" t="n"/>
      <c r="B16" s="1" t="n"/>
      <c r="C16" s="1" t="n"/>
      <c r="D16" s="1" t="n"/>
      <c r="E16" s="1" t="n"/>
      <c r="F16" s="1" t="n"/>
      <c r="G16" s="1" t="n"/>
      <c r="H16" s="1" t="n"/>
    </row>
    <row r="17" ht="16" customHeight="1">
      <c r="A17" s="1" t="n"/>
      <c r="B17" s="6" t="inlineStr">
        <is>
          <t>OCCUPANCY BY PROPERTY</t>
        </is>
      </c>
      <c r="C17" s="1" t="n"/>
      <c r="D17" s="1" t="n"/>
      <c r="E17" s="1" t="n"/>
      <c r="F17" s="1" t="n"/>
      <c r="G17" s="1" t="n"/>
      <c r="H17" s="1" t="n"/>
    </row>
    <row r="18" ht="16" customHeight="1">
      <c r="A18" s="1" t="n"/>
      <c r="B18" s="14" t="inlineStr">
        <is>
          <t>Property</t>
        </is>
      </c>
      <c r="C18" s="15" t="inlineStr">
        <is>
          <t>Units</t>
        </is>
      </c>
      <c r="D18" s="15" t="inlineStr">
        <is>
          <t>Occupied</t>
        </is>
      </c>
      <c r="E18" s="15" t="inlineStr">
        <is>
          <t>Vacant</t>
        </is>
      </c>
      <c r="F18" s="15" t="inlineStr">
        <is>
          <t>Occ. %</t>
        </is>
      </c>
      <c r="G18" s="1" t="n"/>
      <c r="H18" s="1" t="n"/>
    </row>
    <row r="19" ht="15" customHeight="1">
      <c r="A19" s="1" t="n"/>
      <c r="B19" s="16" t="inlineStr">
        <is>
          <t>Hillsboro</t>
        </is>
      </c>
      <c r="C19" s="17" t="n">
        <v>18</v>
      </c>
      <c r="D19" s="17" t="n">
        <v>18</v>
      </c>
      <c r="E19" s="17" t="n">
        <v>0</v>
      </c>
      <c r="F19" s="18">
        <f>D19/C19</f>
        <v/>
      </c>
      <c r="G19" s="1" t="n"/>
      <c r="H19" s="1" t="n"/>
    </row>
    <row r="20" ht="15" customHeight="1">
      <c r="A20" s="1" t="n"/>
      <c r="B20" s="19" t="inlineStr">
        <is>
          <t>Bayshore</t>
        </is>
      </c>
      <c r="C20" s="20" t="n">
        <v>24</v>
      </c>
      <c r="D20" s="20" t="n">
        <v>22</v>
      </c>
      <c r="E20" s="20" t="n">
        <v>2</v>
      </c>
      <c r="F20" s="21">
        <f>D20/C20</f>
        <v/>
      </c>
      <c r="G20" s="1" t="n"/>
      <c r="H20" s="1" t="n"/>
    </row>
    <row r="21" ht="15" customHeight="1">
      <c r="A21" s="1" t="n"/>
      <c r="B21" s="16" t="inlineStr">
        <is>
          <t>Seminole</t>
        </is>
      </c>
      <c r="C21" s="17" t="n">
        <v>12</v>
      </c>
      <c r="D21" s="17" t="n">
        <v>11</v>
      </c>
      <c r="E21" s="17" t="n">
        <v>1</v>
      </c>
      <c r="F21" s="18">
        <f>D21/C21</f>
        <v/>
      </c>
      <c r="G21" s="1" t="n"/>
      <c r="H21" s="1" t="n"/>
    </row>
    <row r="22" ht="15" customHeight="1">
      <c r="A22" s="1" t="n"/>
      <c r="B22" s="19" t="inlineStr">
        <is>
          <t>Westchase</t>
        </is>
      </c>
      <c r="C22" s="20" t="n">
        <v>12</v>
      </c>
      <c r="D22" s="20" t="n">
        <v>9</v>
      </c>
      <c r="E22" s="20" t="n">
        <v>3</v>
      </c>
      <c r="F22" s="21">
        <f>D22/C22</f>
        <v/>
      </c>
      <c r="G22" s="1" t="n"/>
      <c r="H22" s="1" t="n"/>
    </row>
    <row r="23" ht="16" customHeight="1">
      <c r="A23" s="1" t="n"/>
      <c r="B23" s="22" t="inlineStr">
        <is>
          <t>TOTAL</t>
        </is>
      </c>
      <c r="C23" s="23">
        <f>SUM(C19:C22)</f>
        <v/>
      </c>
      <c r="D23" s="23">
        <f>SUM(D19:D22)</f>
        <v/>
      </c>
      <c r="E23" s="23">
        <f>SUM(E19:E22)</f>
        <v/>
      </c>
      <c r="F23" s="24">
        <f>D23/C23</f>
        <v/>
      </c>
      <c r="G23" s="1" t="n"/>
      <c r="H23" s="1" t="n"/>
    </row>
    <row r="24" ht="12" customHeight="1">
      <c r="A24" s="1" t="n"/>
      <c r="B24" s="1" t="n"/>
      <c r="C24" s="1" t="n"/>
      <c r="D24" s="1" t="n"/>
      <c r="E24" s="1" t="n"/>
      <c r="F24" s="1" t="n"/>
      <c r="G24" s="1" t="n"/>
      <c r="H24" s="1" t="n"/>
    </row>
    <row r="25" ht="16" customHeight="1">
      <c r="A25" s="1" t="n"/>
      <c r="B25" s="6" t="inlineStr">
        <is>
          <t>UPCOMING LEASE EXPIRATIONS (Next 60 Days)</t>
        </is>
      </c>
      <c r="C25" s="1" t="n"/>
      <c r="D25" s="1" t="n"/>
      <c r="E25" s="1" t="n"/>
      <c r="F25" s="1" t="n"/>
      <c r="G25" s="1" t="n"/>
      <c r="H25" s="1" t="n"/>
    </row>
    <row r="26" ht="16" customHeight="1">
      <c r="A26" s="1" t="n"/>
      <c r="B26" s="14" t="inlineStr">
        <is>
          <t>Unit</t>
        </is>
      </c>
      <c r="C26" s="15" t="inlineStr">
        <is>
          <t>Property</t>
        </is>
      </c>
      <c r="D26" s="15" t="inlineStr">
        <is>
          <t>Tenant</t>
        </is>
      </c>
      <c r="E26" s="15" t="inlineStr">
        <is>
          <t>Lease End</t>
        </is>
      </c>
      <c r="F26" s="15" t="inlineStr">
        <is>
          <t>Days Left</t>
        </is>
      </c>
      <c r="G26" s="15" t="inlineStr">
        <is>
          <t>Status</t>
        </is>
      </c>
      <c r="H26" s="1" t="n"/>
    </row>
    <row r="27" ht="15" customHeight="1">
      <c r="A27" s="1" t="n"/>
      <c r="B27" s="16" t="inlineStr">
        <is>
          <t>2B</t>
        </is>
      </c>
      <c r="C27" s="25" t="inlineStr">
        <is>
          <t>Bayshore</t>
        </is>
      </c>
      <c r="D27" s="25" t="inlineStr">
        <is>
          <t>M. Torres</t>
        </is>
      </c>
      <c r="E27" s="25" t="inlineStr">
        <is>
          <t>2025-04-21</t>
        </is>
      </c>
      <c r="F27" s="26" t="n">
        <v>12</v>
      </c>
      <c r="G27" s="27" t="inlineStr">
        <is>
          <t>⚠ Urgent</t>
        </is>
      </c>
      <c r="H27" s="1" t="n"/>
    </row>
    <row r="28" ht="15" customHeight="1">
      <c r="A28" s="1" t="n"/>
      <c r="B28" s="19" t="inlineStr">
        <is>
          <t>1A</t>
        </is>
      </c>
      <c r="C28" s="28" t="inlineStr">
        <is>
          <t>Westchase</t>
        </is>
      </c>
      <c r="D28" s="28" t="inlineStr">
        <is>
          <t>J. Patel</t>
        </is>
      </c>
      <c r="E28" s="28" t="inlineStr">
        <is>
          <t>2025-04-28</t>
        </is>
      </c>
      <c r="F28" s="29" t="n">
        <v>19</v>
      </c>
      <c r="G28" s="30" t="inlineStr">
        <is>
          <t>⚠ Urgent</t>
        </is>
      </c>
      <c r="H28" s="1" t="n"/>
    </row>
    <row r="29" ht="15" customHeight="1">
      <c r="A29" s="1" t="n"/>
      <c r="B29" s="16" t="inlineStr">
        <is>
          <t>4C</t>
        </is>
      </c>
      <c r="C29" s="25" t="inlineStr">
        <is>
          <t>Seminole</t>
        </is>
      </c>
      <c r="D29" s="25" t="inlineStr">
        <is>
          <t>R. Williams</t>
        </is>
      </c>
      <c r="E29" s="25" t="inlineStr">
        <is>
          <t>2025-05-10</t>
        </is>
      </c>
      <c r="F29" s="31" t="n">
        <v>31</v>
      </c>
      <c r="G29" s="32" t="inlineStr">
        <is>
          <t>○ Monitor</t>
        </is>
      </c>
      <c r="H29" s="1" t="n"/>
    </row>
    <row r="30" ht="15" customHeight="1">
      <c r="A30" s="1" t="n"/>
      <c r="B30" s="19" t="inlineStr">
        <is>
          <t>3A</t>
        </is>
      </c>
      <c r="C30" s="28" t="inlineStr">
        <is>
          <t>Bayshore</t>
        </is>
      </c>
      <c r="D30" s="28" t="inlineStr">
        <is>
          <t>K. Chen</t>
        </is>
      </c>
      <c r="E30" s="28" t="inlineStr">
        <is>
          <t>2025-05-22</t>
        </is>
      </c>
      <c r="F30" s="33" t="n">
        <v>43</v>
      </c>
      <c r="G30" s="34" t="inlineStr">
        <is>
          <t>○ Monitor</t>
        </is>
      </c>
      <c r="H30" s="1" t="n"/>
    </row>
    <row r="31" ht="15" customHeight="1">
      <c r="A31" s="1" t="n"/>
      <c r="B31" s="16" t="inlineStr">
        <is>
          <t>2D</t>
        </is>
      </c>
      <c r="C31" s="25" t="inlineStr">
        <is>
          <t>Hillsboro</t>
        </is>
      </c>
      <c r="D31" s="25" t="inlineStr">
        <is>
          <t>S. Brown</t>
        </is>
      </c>
      <c r="E31" s="25" t="inlineStr">
        <is>
          <t>2025-06-01</t>
        </is>
      </c>
      <c r="F31" s="35" t="n">
        <v>53</v>
      </c>
      <c r="G31" s="36" t="inlineStr">
        <is>
          <t>● Watch</t>
        </is>
      </c>
      <c r="H31" s="1" t="n"/>
    </row>
    <row r="32" ht="15" customHeight="1">
      <c r="A32" s="1" t="n"/>
      <c r="B32" s="19" t="inlineStr">
        <is>
          <t>1C</t>
        </is>
      </c>
      <c r="C32" s="28" t="inlineStr">
        <is>
          <t>Westchase</t>
        </is>
      </c>
      <c r="D32" s="28" t="inlineStr">
        <is>
          <t>A. Davis</t>
        </is>
      </c>
      <c r="E32" s="28" t="inlineStr">
        <is>
          <t>2025-06-10</t>
        </is>
      </c>
      <c r="F32" s="37" t="n">
        <v>62</v>
      </c>
      <c r="G32" s="38" t="inlineStr">
        <is>
          <t>● Watch</t>
        </is>
      </c>
      <c r="H32" s="1" t="n"/>
    </row>
    <row r="33" ht="15" customHeight="1">
      <c r="A33" s="1" t="n"/>
      <c r="B33" s="16" t="inlineStr">
        <is>
          <t>3B</t>
        </is>
      </c>
      <c r="C33" s="25" t="inlineStr">
        <is>
          <t>Seminole</t>
        </is>
      </c>
      <c r="D33" s="25" t="inlineStr">
        <is>
          <t>L. Martinez</t>
        </is>
      </c>
      <c r="E33" s="25" t="inlineStr">
        <is>
          <t>2025-06-15</t>
        </is>
      </c>
      <c r="F33" s="35" t="n">
        <v>67</v>
      </c>
      <c r="G33" s="36" t="inlineStr">
        <is>
          <t>—</t>
        </is>
      </c>
      <c r="H33" s="1" t="n"/>
    </row>
    <row r="34" ht="18" customHeight="1">
      <c r="A34" s="1" t="n"/>
      <c r="B34" s="1" t="n"/>
      <c r="C34" s="1" t="n"/>
      <c r="D34" s="1" t="n"/>
      <c r="E34" s="1" t="n"/>
      <c r="F34" s="1" t="n"/>
      <c r="G34" s="1" t="n"/>
      <c r="H34" s="1" t="n"/>
    </row>
    <row r="35" ht="12" customHeight="1">
      <c r="A35" s="1" t="n"/>
      <c r="B35" s="1" t="n"/>
      <c r="C35" s="1" t="n"/>
      <c r="D35" s="1" t="n"/>
      <c r="E35" s="1" t="n"/>
      <c r="F35" s="1" t="n"/>
      <c r="G35" s="1" t="n"/>
      <c r="H35" s="1" t="n"/>
    </row>
    <row r="36" ht="16" customHeight="1">
      <c r="A36" s="1" t="n"/>
      <c r="B36" s="6" t="inlineStr">
        <is>
          <t>MAINTENANCE SNAPSHOT</t>
        </is>
      </c>
      <c r="C36" s="1" t="n"/>
      <c r="D36" s="1" t="n"/>
      <c r="E36" s="1" t="n"/>
      <c r="F36" s="1" t="n"/>
      <c r="G36" s="1" t="n"/>
      <c r="H36" s="1" t="n"/>
    </row>
    <row r="37" ht="13" customHeight="1">
      <c r="A37" s="1" t="n"/>
      <c r="B37" s="12" t="inlineStr">
        <is>
          <t>Open Requests</t>
        </is>
      </c>
      <c r="C37" s="12" t="inlineStr">
        <is>
          <t>Closed This Week</t>
        </is>
      </c>
      <c r="D37" s="12" t="inlineStr">
        <is>
          <t>Over SLA (7 days)</t>
        </is>
      </c>
      <c r="E37" s="10" t="n"/>
      <c r="F37" s="12" t="inlineStr">
        <is>
          <t>Avg. Resolution</t>
        </is>
      </c>
      <c r="G37" s="10" t="n"/>
      <c r="H37" s="1" t="n"/>
    </row>
    <row r="38" ht="16" customHeight="1">
      <c r="A38" s="1" t="n"/>
      <c r="B38" s="39" t="n">
        <v>11</v>
      </c>
      <c r="C38" s="40" t="n">
        <v>6</v>
      </c>
      <c r="D38" s="41" t="n">
        <v>3</v>
      </c>
      <c r="E38" s="10" t="n"/>
      <c r="F38" s="40" t="inlineStr">
        <is>
          <t>4.2d</t>
        </is>
      </c>
      <c r="G38" s="10" t="n"/>
      <c r="H38" s="1" t="n"/>
    </row>
    <row r="39" ht="13" customHeight="1">
      <c r="A39" s="1" t="n"/>
      <c r="B39" s="42" t="inlineStr">
        <is>
          <t>Target: ≤8</t>
        </is>
      </c>
      <c r="C39" s="42" t="inlineStr">
        <is>
          <t>This week</t>
        </is>
      </c>
      <c r="D39" s="42" t="inlineStr">
        <is>
          <t>Target: 0</t>
        </is>
      </c>
      <c r="E39" s="10" t="n"/>
      <c r="F39" s="42" t="inlineStr">
        <is>
          <t>Target: ≤5d</t>
        </is>
      </c>
      <c r="G39" s="10" t="n"/>
      <c r="H39" s="1" t="n"/>
    </row>
    <row r="40" ht="18" customHeight="1">
      <c r="A40" s="1" t="n"/>
      <c r="B40" s="1" t="n"/>
      <c r="C40" s="1" t="n"/>
      <c r="D40" s="1" t="n"/>
      <c r="E40" s="1" t="n"/>
      <c r="F40" s="1" t="n"/>
      <c r="G40" s="1" t="n"/>
      <c r="H40" s="1" t="n"/>
    </row>
    <row r="41" ht="14" customHeight="1">
      <c r="A41" s="1" t="n"/>
      <c r="B41" s="1" t="n"/>
      <c r="C41" s="1" t="n"/>
      <c r="D41" s="1" t="n"/>
      <c r="E41" s="1" t="n"/>
      <c r="F41" s="1" t="n"/>
      <c r="G41" s="1" t="n"/>
      <c r="H41" s="1" t="n"/>
    </row>
    <row r="42" ht="14" customHeight="1">
      <c r="A42" s="1" t="n"/>
      <c r="B42" s="43" t="inlineStr">
        <is>
          <t>Dashboard prepared by Euleanne Espinal · Operations &amp; Project Coordination · Update weekly by Monday 9AM</t>
        </is>
      </c>
      <c r="C42" s="1" t="n"/>
      <c r="D42" s="1" t="n"/>
      <c r="E42" s="1" t="n"/>
      <c r="F42" s="1" t="n"/>
      <c r="G42" s="1" t="n"/>
      <c r="H42" s="1" t="n"/>
    </row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</sheetData>
  <mergeCells count="8">
    <mergeCell ref="F3:G3"/>
    <mergeCell ref="B2:G2"/>
    <mergeCell ref="B42:G42"/>
    <mergeCell ref="B36:G36"/>
    <mergeCell ref="B17:D17"/>
    <mergeCell ref="B3:E3"/>
    <mergeCell ref="B7:G7"/>
    <mergeCell ref="B25:G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A8B8CC"/>
    <outlinePr summaryBelow="1" summaryRight="1"/>
    <pageSetUpPr/>
  </sheetPr>
  <dimension ref="A1:J5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2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4" customWidth="1" min="9" max="9"/>
    <col width="2" customWidth="1" min="10" max="10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 ht="24" customHeight="1">
      <c r="A2" s="1" t="n"/>
      <c r="B2" s="44" t="inlineStr">
        <is>
          <t>PROPERTY-BY-PROPERTY BREAKDOWN</t>
        </is>
      </c>
      <c r="J2" s="1" t="n"/>
    </row>
    <row r="3" ht="2" customHeight="1">
      <c r="A3" s="1" t="n"/>
      <c r="B3" s="5" t="n"/>
      <c r="C3" s="5" t="n"/>
      <c r="D3" s="5" t="n"/>
      <c r="E3" s="5" t="n"/>
      <c r="F3" s="5" t="n"/>
      <c r="G3" s="5" t="n"/>
      <c r="H3" s="5" t="n"/>
      <c r="I3" s="5" t="n"/>
      <c r="J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</row>
    <row r="5" ht="16" customHeight="1">
      <c r="A5" s="1" t="n"/>
      <c r="B5" s="45" t="inlineStr">
        <is>
          <t>Property</t>
        </is>
      </c>
      <c r="C5" s="46" t="inlineStr">
        <is>
          <t>Total Units</t>
        </is>
      </c>
      <c r="D5" s="46" t="inlineStr">
        <is>
          <t>Jan</t>
        </is>
      </c>
      <c r="E5" s="46" t="inlineStr">
        <is>
          <t>Feb</t>
        </is>
      </c>
      <c r="F5" s="46" t="inlineStr">
        <is>
          <t>Mar</t>
        </is>
      </c>
      <c r="G5" s="46" t="inlineStr">
        <is>
          <t>Apr</t>
        </is>
      </c>
      <c r="H5" s="46" t="inlineStr">
        <is>
          <t>May</t>
        </is>
      </c>
      <c r="I5" s="46" t="inlineStr">
        <is>
          <t>Jun</t>
        </is>
      </c>
      <c r="J5" s="1" t="n"/>
    </row>
    <row r="6" ht="15" customHeight="1">
      <c r="A6" s="1" t="n"/>
      <c r="B6" s="47" t="inlineStr">
        <is>
          <t>Hillsboro</t>
        </is>
      </c>
      <c r="C6" s="25" t="n">
        <v>18</v>
      </c>
      <c r="D6" s="48" t="n">
        <v>18</v>
      </c>
      <c r="E6" s="48" t="n">
        <v>18</v>
      </c>
      <c r="F6" s="48" t="n">
        <v>18</v>
      </c>
      <c r="G6" s="48" t="n">
        <v>18</v>
      </c>
      <c r="H6" s="48" t="n">
        <v>17</v>
      </c>
      <c r="I6" s="48" t="n">
        <v>18</v>
      </c>
      <c r="J6" s="1" t="n"/>
    </row>
    <row r="7" ht="13" customHeight="1">
      <c r="A7" s="1" t="n"/>
      <c r="B7" s="49" t="inlineStr">
        <is>
          <t>% Occupancy</t>
        </is>
      </c>
      <c r="C7" s="50" t="n"/>
      <c r="D7" s="51">
        <f>D6/C6</f>
        <v/>
      </c>
      <c r="E7" s="51">
        <f>E6/C6</f>
        <v/>
      </c>
      <c r="F7" s="51">
        <f>F6/C6</f>
        <v/>
      </c>
      <c r="G7" s="51">
        <f>G6/C6</f>
        <v/>
      </c>
      <c r="H7" s="51">
        <f>H6/C6</f>
        <v/>
      </c>
      <c r="I7" s="51">
        <f>I6/C6</f>
        <v/>
      </c>
      <c r="J7" s="1" t="n"/>
    </row>
    <row r="8" ht="4" customHeigh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</row>
    <row r="9" ht="15" customHeight="1">
      <c r="A9" s="1" t="n"/>
      <c r="B9" s="52" t="inlineStr">
        <is>
          <t>Bayshore</t>
        </is>
      </c>
      <c r="C9" s="28" t="n">
        <v>24</v>
      </c>
      <c r="D9" s="53" t="n">
        <v>23</v>
      </c>
      <c r="E9" s="53" t="n">
        <v>22</v>
      </c>
      <c r="F9" s="53" t="n">
        <v>24</v>
      </c>
      <c r="G9" s="53" t="n">
        <v>22</v>
      </c>
      <c r="H9" s="53" t="n">
        <v>21</v>
      </c>
      <c r="I9" s="53" t="n">
        <v>22</v>
      </c>
      <c r="J9" s="1" t="n"/>
    </row>
    <row r="10" ht="13" customHeight="1">
      <c r="A10" s="1" t="n"/>
      <c r="B10" s="49" t="inlineStr">
        <is>
          <t>% Occupancy</t>
        </is>
      </c>
      <c r="C10" s="50" t="n"/>
      <c r="D10" s="51">
        <f>D9/C9</f>
        <v/>
      </c>
      <c r="E10" s="54">
        <f>E9/C9</f>
        <v/>
      </c>
      <c r="F10" s="51">
        <f>F9/C9</f>
        <v/>
      </c>
      <c r="G10" s="54">
        <f>G9/C9</f>
        <v/>
      </c>
      <c r="H10" s="54">
        <f>H9/C9</f>
        <v/>
      </c>
      <c r="I10" s="54">
        <f>I9/C9</f>
        <v/>
      </c>
      <c r="J10" s="1" t="n"/>
    </row>
    <row r="11" ht="4" customHeight="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</row>
    <row r="12" ht="15" customHeight="1">
      <c r="A12" s="1" t="n"/>
      <c r="B12" s="47" t="inlineStr">
        <is>
          <t>Seminole</t>
        </is>
      </c>
      <c r="C12" s="25" t="n">
        <v>12</v>
      </c>
      <c r="D12" s="48" t="n">
        <v>12</v>
      </c>
      <c r="E12" s="48" t="n">
        <v>11</v>
      </c>
      <c r="F12" s="48" t="n">
        <v>12</v>
      </c>
      <c r="G12" s="48" t="n">
        <v>11</v>
      </c>
      <c r="H12" s="48" t="n">
        <v>10</v>
      </c>
      <c r="I12" s="48" t="n">
        <v>11</v>
      </c>
      <c r="J12" s="1" t="n"/>
    </row>
    <row r="13" ht="13" customHeight="1">
      <c r="A13" s="1" t="n"/>
      <c r="B13" s="49" t="inlineStr">
        <is>
          <t>% Occupancy</t>
        </is>
      </c>
      <c r="C13" s="50" t="n"/>
      <c r="D13" s="51">
        <f>D12/C12</f>
        <v/>
      </c>
      <c r="E13" s="54">
        <f>E12/C12</f>
        <v/>
      </c>
      <c r="F13" s="51">
        <f>F12/C12</f>
        <v/>
      </c>
      <c r="G13" s="54">
        <f>G12/C12</f>
        <v/>
      </c>
      <c r="H13" s="54">
        <f>H12/C12</f>
        <v/>
      </c>
      <c r="I13" s="54">
        <f>I12/C12</f>
        <v/>
      </c>
      <c r="J13" s="1" t="n"/>
    </row>
    <row r="14" ht="4" customHeight="1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</row>
    <row r="15" ht="15" customHeight="1">
      <c r="A15" s="1" t="n"/>
      <c r="B15" s="52" t="inlineStr">
        <is>
          <t>Westchase</t>
        </is>
      </c>
      <c r="C15" s="28" t="n">
        <v>12</v>
      </c>
      <c r="D15" s="53" t="n">
        <v>10</v>
      </c>
      <c r="E15" s="53" t="n">
        <v>10</v>
      </c>
      <c r="F15" s="53" t="n">
        <v>11</v>
      </c>
      <c r="G15" s="53" t="n">
        <v>9</v>
      </c>
      <c r="H15" s="53" t="n">
        <v>10</v>
      </c>
      <c r="I15" s="53" t="n">
        <v>10</v>
      </c>
      <c r="J15" s="1" t="n"/>
    </row>
    <row r="16" ht="13" customHeight="1">
      <c r="A16" s="1" t="n"/>
      <c r="B16" s="49" t="inlineStr">
        <is>
          <t>% Occupancy</t>
        </is>
      </c>
      <c r="C16" s="50" t="n"/>
      <c r="D16" s="54">
        <f>D15/C15</f>
        <v/>
      </c>
      <c r="E16" s="54">
        <f>E15/C15</f>
        <v/>
      </c>
      <c r="F16" s="54">
        <f>F15/C15</f>
        <v/>
      </c>
      <c r="G16" s="55">
        <f>G15/C15</f>
        <v/>
      </c>
      <c r="H16" s="54">
        <f>H15/C15</f>
        <v/>
      </c>
      <c r="I16" s="54">
        <f>I15/C15</f>
        <v/>
      </c>
      <c r="J16" s="1" t="n"/>
    </row>
    <row r="17" ht="4" customHeight="1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</row>
    <row r="20" ht="16" customHeight="1">
      <c r="A20" s="1" t="n"/>
      <c r="B20" s="2" t="inlineStr">
        <is>
          <t>MONTHLY REVENUE BY PROPERTY</t>
        </is>
      </c>
      <c r="J20" s="1" t="n"/>
    </row>
    <row r="21" ht="16" customHeight="1">
      <c r="A21" s="1" t="n"/>
      <c r="B21" s="45" t="inlineStr">
        <is>
          <t>Property</t>
        </is>
      </c>
      <c r="C21" s="46" t="inlineStr">
        <is>
          <t>Rate/Unit</t>
        </is>
      </c>
      <c r="D21" s="46" t="inlineStr">
        <is>
          <t>Jan</t>
        </is>
      </c>
      <c r="E21" s="46" t="inlineStr">
        <is>
          <t>Feb</t>
        </is>
      </c>
      <c r="F21" s="46" t="inlineStr">
        <is>
          <t>Mar</t>
        </is>
      </c>
      <c r="G21" s="46" t="inlineStr">
        <is>
          <t>Apr</t>
        </is>
      </c>
      <c r="H21" s="46" t="inlineStr">
        <is>
          <t>May</t>
        </is>
      </c>
      <c r="I21" s="46" t="inlineStr">
        <is>
          <t>Jun</t>
        </is>
      </c>
      <c r="J21" s="1" t="n"/>
    </row>
    <row r="22" ht="15" customHeight="1">
      <c r="A22" s="1" t="n"/>
      <c r="B22" s="16" t="inlineStr">
        <is>
          <t>Hillsboro</t>
        </is>
      </c>
      <c r="C22" s="56" t="n">
        <v>1850</v>
      </c>
      <c r="D22" s="57">
        <f>D6*C22</f>
        <v/>
      </c>
      <c r="E22" s="57">
        <f>E6*C22</f>
        <v/>
      </c>
      <c r="F22" s="57">
        <f>F6*C22</f>
        <v/>
      </c>
      <c r="G22" s="57">
        <f>G6*C22</f>
        <v/>
      </c>
      <c r="H22" s="57">
        <f>H6*C22</f>
        <v/>
      </c>
      <c r="I22" s="57">
        <f>I6*C22</f>
        <v/>
      </c>
      <c r="J22" s="1" t="n"/>
    </row>
    <row r="23" ht="15" customHeight="1">
      <c r="A23" s="1" t="n"/>
      <c r="B23" s="19" t="inlineStr">
        <is>
          <t>Bayshore</t>
        </is>
      </c>
      <c r="C23" s="58" t="n">
        <v>2100</v>
      </c>
      <c r="D23" s="59">
        <f>D9*C23</f>
        <v/>
      </c>
      <c r="E23" s="59">
        <f>E9*C23</f>
        <v/>
      </c>
      <c r="F23" s="59">
        <f>F9*C23</f>
        <v/>
      </c>
      <c r="G23" s="59">
        <f>G9*C23</f>
        <v/>
      </c>
      <c r="H23" s="59">
        <f>H9*C23</f>
        <v/>
      </c>
      <c r="I23" s="59">
        <f>I9*C23</f>
        <v/>
      </c>
      <c r="J23" s="1" t="n"/>
    </row>
    <row r="24" ht="15" customHeight="1">
      <c r="A24" s="1" t="n"/>
      <c r="B24" s="16" t="inlineStr">
        <is>
          <t>Seminole</t>
        </is>
      </c>
      <c r="C24" s="56" t="n">
        <v>1650</v>
      </c>
      <c r="D24" s="57">
        <f>D12*C24</f>
        <v/>
      </c>
      <c r="E24" s="57">
        <f>E12*C24</f>
        <v/>
      </c>
      <c r="F24" s="57">
        <f>F12*C24</f>
        <v/>
      </c>
      <c r="G24" s="57">
        <f>G12*C24</f>
        <v/>
      </c>
      <c r="H24" s="57">
        <f>H12*C24</f>
        <v/>
      </c>
      <c r="I24" s="57">
        <f>I12*C24</f>
        <v/>
      </c>
      <c r="J24" s="1" t="n"/>
    </row>
    <row r="25" ht="15" customHeight="1">
      <c r="A25" s="1" t="n"/>
      <c r="B25" s="19" t="inlineStr">
        <is>
          <t>Westchase</t>
        </is>
      </c>
      <c r="C25" s="58" t="n">
        <v>1950</v>
      </c>
      <c r="D25" s="59">
        <f>D15*C25</f>
        <v/>
      </c>
      <c r="E25" s="59">
        <f>E15*C25</f>
        <v/>
      </c>
      <c r="F25" s="59">
        <f>F15*C25</f>
        <v/>
      </c>
      <c r="G25" s="59">
        <f>G15*C25</f>
        <v/>
      </c>
      <c r="H25" s="59">
        <f>H15*C25</f>
        <v/>
      </c>
      <c r="I25" s="59">
        <f>I15*C25</f>
        <v/>
      </c>
      <c r="J25" s="1" t="n"/>
    </row>
    <row r="26" ht="16" customHeight="1">
      <c r="A26" s="1" t="n"/>
      <c r="B26" s="60" t="inlineStr">
        <is>
          <t>TOTAL REVENUE</t>
        </is>
      </c>
      <c r="C26" s="10" t="n"/>
      <c r="D26" s="61">
        <f>SUM(D22:D25)</f>
        <v/>
      </c>
      <c r="E26" s="61">
        <f>SUM(E22:E25)</f>
        <v/>
      </c>
      <c r="F26" s="61">
        <f>SUM(F22:F25)</f>
        <v/>
      </c>
      <c r="G26" s="61">
        <f>SUM(G22:G25)</f>
        <v/>
      </c>
      <c r="H26" s="61">
        <f>SUM(H22:H25)</f>
        <v/>
      </c>
      <c r="I26" s="61">
        <f>SUM(I22:I25)</f>
        <v/>
      </c>
      <c r="J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</row>
  </sheetData>
  <mergeCells count="2">
    <mergeCell ref="B2:I2"/>
    <mergeCell ref="B20:I2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87A3A"/>
    <outlinePr summaryBelow="1" summaryRight="1"/>
    <pageSetUpPr/>
  </sheetPr>
  <dimension ref="A1:H4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4" customWidth="1" min="2" max="2"/>
    <col width="16" customWidth="1" min="3" max="3"/>
    <col width="12" customWidth="1" min="4" max="4"/>
    <col width="14" customWidth="1" min="5" max="5"/>
    <col width="16" customWidth="1" min="6" max="6"/>
    <col width="18" customWidth="1" min="7" max="7"/>
    <col width="2" customWidth="1" min="8" max="8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</row>
    <row r="2" ht="24" customHeight="1">
      <c r="A2" s="1" t="n"/>
      <c r="B2" s="44" t="inlineStr">
        <is>
          <t>60-DAY PLANNING VIEW</t>
        </is>
      </c>
      <c r="H2" s="1" t="n"/>
    </row>
    <row r="3" ht="2" customHeight="1">
      <c r="A3" s="1" t="n"/>
      <c r="B3" s="5" t="n"/>
      <c r="C3" s="5" t="n"/>
      <c r="D3" s="5" t="n"/>
      <c r="E3" s="5" t="n"/>
      <c r="F3" s="5" t="n"/>
      <c r="G3" s="5" t="n"/>
      <c r="H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 ht="16" customHeight="1">
      <c r="A5" s="1" t="n"/>
      <c r="B5" s="2" t="inlineStr">
        <is>
          <t>LEASE RENEWAL TRACKER</t>
        </is>
      </c>
      <c r="H5" s="1" t="n"/>
    </row>
    <row r="6" ht="16" customHeight="1">
      <c r="A6" s="1" t="n"/>
      <c r="B6" s="14" t="inlineStr">
        <is>
          <t>Unit</t>
        </is>
      </c>
      <c r="C6" s="15" t="inlineStr">
        <is>
          <t>Property</t>
        </is>
      </c>
      <c r="D6" s="15" t="inlineStr">
        <is>
          <t>Tenant</t>
        </is>
      </c>
      <c r="E6" s="15" t="inlineStr">
        <is>
          <t>Expiry Date</t>
        </is>
      </c>
      <c r="F6" s="15" t="inlineStr">
        <is>
          <t>Days Remaining</t>
        </is>
      </c>
      <c r="G6" s="15" t="inlineStr">
        <is>
          <t>Action Required</t>
        </is>
      </c>
      <c r="H6" s="1" t="n"/>
    </row>
    <row r="7" ht="15" customHeight="1">
      <c r="A7" s="1" t="n"/>
      <c r="B7" s="16" t="inlineStr">
        <is>
          <t>2B</t>
        </is>
      </c>
      <c r="C7" s="25" t="inlineStr">
        <is>
          <t>Bayshore</t>
        </is>
      </c>
      <c r="D7" s="25" t="inlineStr">
        <is>
          <t>M. Torres</t>
        </is>
      </c>
      <c r="E7" s="25" t="inlineStr">
        <is>
          <t>04/21/2025</t>
        </is>
      </c>
      <c r="F7" s="26" t="n">
        <v>12</v>
      </c>
      <c r="G7" s="62" t="inlineStr">
        <is>
          <t>Call tenant — discuss renewal terms</t>
        </is>
      </c>
      <c r="H7" s="1" t="n"/>
    </row>
    <row r="8" ht="15" customHeight="1">
      <c r="A8" s="1" t="n"/>
      <c r="B8" s="19" t="inlineStr">
        <is>
          <t>1A</t>
        </is>
      </c>
      <c r="C8" s="28" t="inlineStr">
        <is>
          <t>Westchase</t>
        </is>
      </c>
      <c r="D8" s="28" t="inlineStr">
        <is>
          <t>J. Patel</t>
        </is>
      </c>
      <c r="E8" s="28" t="inlineStr">
        <is>
          <t>04/28/2025</t>
        </is>
      </c>
      <c r="F8" s="29" t="n">
        <v>19</v>
      </c>
      <c r="G8" s="63" t="inlineStr">
        <is>
          <t>Schedule renewal call this week</t>
        </is>
      </c>
      <c r="H8" s="1" t="n"/>
    </row>
    <row r="9" ht="15" customHeight="1">
      <c r="A9" s="1" t="n"/>
      <c r="B9" s="16" t="inlineStr">
        <is>
          <t>4C</t>
        </is>
      </c>
      <c r="C9" s="25" t="inlineStr">
        <is>
          <t>Seminole</t>
        </is>
      </c>
      <c r="D9" s="25" t="inlineStr">
        <is>
          <t>R. Williams</t>
        </is>
      </c>
      <c r="E9" s="25" t="inlineStr">
        <is>
          <t>05/10/2025</t>
        </is>
      </c>
      <c r="F9" s="31" t="n">
        <v>31</v>
      </c>
      <c r="G9" s="62" t="inlineStr">
        <is>
          <t>Send written renewal notice</t>
        </is>
      </c>
      <c r="H9" s="1" t="n"/>
    </row>
    <row r="10" ht="15" customHeight="1">
      <c r="A10" s="1" t="n"/>
      <c r="B10" s="19" t="inlineStr">
        <is>
          <t>3A</t>
        </is>
      </c>
      <c r="C10" s="28" t="inlineStr">
        <is>
          <t>Bayshore</t>
        </is>
      </c>
      <c r="D10" s="28" t="inlineStr">
        <is>
          <t>K. Chen</t>
        </is>
      </c>
      <c r="E10" s="28" t="inlineStr">
        <is>
          <t>05/22/2025</t>
        </is>
      </c>
      <c r="F10" s="33" t="n">
        <v>43</v>
      </c>
      <c r="G10" s="63" t="inlineStr">
        <is>
          <t>Send written renewal notice</t>
        </is>
      </c>
      <c r="H10" s="1" t="n"/>
    </row>
    <row r="11" ht="15" customHeight="1">
      <c r="A11" s="1" t="n"/>
      <c r="B11" s="16" t="inlineStr">
        <is>
          <t>2D</t>
        </is>
      </c>
      <c r="C11" s="25" t="inlineStr">
        <is>
          <t>Hillsboro</t>
        </is>
      </c>
      <c r="D11" s="25" t="inlineStr">
        <is>
          <t>S. Brown</t>
        </is>
      </c>
      <c r="E11" s="25" t="inlineStr">
        <is>
          <t>06/01/2025</t>
        </is>
      </c>
      <c r="F11" s="35" t="n">
        <v>53</v>
      </c>
      <c r="G11" s="62" t="inlineStr">
        <is>
          <t>Flag for next week review</t>
        </is>
      </c>
      <c r="H11" s="1" t="n"/>
    </row>
    <row r="12" ht="15" customHeight="1">
      <c r="A12" s="1" t="n"/>
      <c r="B12" s="19" t="inlineStr">
        <is>
          <t>1C</t>
        </is>
      </c>
      <c r="C12" s="28" t="inlineStr">
        <is>
          <t>Westchase</t>
        </is>
      </c>
      <c r="D12" s="28" t="inlineStr">
        <is>
          <t>A. Davis</t>
        </is>
      </c>
      <c r="E12" s="28" t="inlineStr">
        <is>
          <t>06/10/2025</t>
        </is>
      </c>
      <c r="F12" s="37" t="n">
        <v>62</v>
      </c>
      <c r="G12" s="63" t="inlineStr">
        <is>
          <t>Monitor — no action yet</t>
        </is>
      </c>
      <c r="H12" s="1" t="n"/>
    </row>
    <row r="13" ht="15" customHeight="1">
      <c r="A13" s="1" t="n"/>
      <c r="B13" s="16" t="inlineStr">
        <is>
          <t>3B</t>
        </is>
      </c>
      <c r="C13" s="25" t="inlineStr">
        <is>
          <t>Seminole</t>
        </is>
      </c>
      <c r="D13" s="25" t="inlineStr">
        <is>
          <t>L. Martinez</t>
        </is>
      </c>
      <c r="E13" s="25" t="inlineStr">
        <is>
          <t>06/15/2025</t>
        </is>
      </c>
      <c r="F13" s="35" t="n">
        <v>67</v>
      </c>
      <c r="G13" s="62" t="inlineStr">
        <is>
          <t>Monitor — no action yet</t>
        </is>
      </c>
      <c r="H13" s="1" t="n"/>
    </row>
    <row r="14" ht="15" customHeight="1">
      <c r="A14" s="1" t="n"/>
      <c r="B14" s="19" t="inlineStr">
        <is>
          <t>4A</t>
        </is>
      </c>
      <c r="C14" s="28" t="inlineStr">
        <is>
          <t>Hillsboro</t>
        </is>
      </c>
      <c r="D14" s="28" t="inlineStr">
        <is>
          <t>P. Johnson</t>
        </is>
      </c>
      <c r="E14" s="28" t="inlineStr">
        <is>
          <t>06/22/2025</t>
        </is>
      </c>
      <c r="F14" s="37" t="n">
        <v>74</v>
      </c>
      <c r="G14" s="63" t="inlineStr">
        <is>
          <t>No action required</t>
        </is>
      </c>
      <c r="H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</row>
    <row r="17" ht="16" customHeight="1">
      <c r="A17" s="1" t="n"/>
      <c r="B17" s="2" t="inlineStr">
        <is>
          <t>VACANCY MONITOR — UNITS OVER 14 DAYS EMPTY</t>
        </is>
      </c>
      <c r="H17" s="1" t="n"/>
    </row>
    <row r="18" ht="16" customHeight="1">
      <c r="A18" s="1" t="n"/>
      <c r="B18" s="14" t="inlineStr">
        <is>
          <t>Unit</t>
        </is>
      </c>
      <c r="C18" s="15" t="inlineStr">
        <is>
          <t>Property</t>
        </is>
      </c>
      <c r="D18" s="15" t="inlineStr">
        <is>
          <t>Date Vacated</t>
        </is>
      </c>
      <c r="E18" s="15" t="inlineStr">
        <is>
          <t>Days Empty</t>
        </is>
      </c>
      <c r="F18" s="15" t="inlineStr">
        <is>
          <t>Listed?</t>
        </is>
      </c>
      <c r="G18" s="15" t="inlineStr">
        <is>
          <t>Notes</t>
        </is>
      </c>
      <c r="H18" s="1" t="n"/>
    </row>
    <row r="19" ht="15" customHeight="1">
      <c r="A19" s="1" t="n"/>
      <c r="B19" s="16" t="inlineStr">
        <is>
          <t>1A</t>
        </is>
      </c>
      <c r="C19" s="25" t="inlineStr">
        <is>
          <t>Westchase</t>
        </is>
      </c>
      <c r="D19" s="25" t="inlineStr">
        <is>
          <t>03/18/2025</t>
        </is>
      </c>
      <c r="E19" s="26" t="n">
        <v>22</v>
      </c>
      <c r="F19" s="64" t="inlineStr">
        <is>
          <t>Yes</t>
        </is>
      </c>
      <c r="G19" s="16" t="inlineStr">
        <is>
          <t>Price reduced $150 — monitor response</t>
        </is>
      </c>
      <c r="H19" s="1" t="n"/>
    </row>
    <row r="20" ht="15" customHeight="1">
      <c r="A20" s="1" t="n"/>
      <c r="B20" s="19" t="inlineStr">
        <is>
          <t>2C</t>
        </is>
      </c>
      <c r="C20" s="28" t="inlineStr">
        <is>
          <t>Bayshore</t>
        </is>
      </c>
      <c r="D20" s="28" t="inlineStr">
        <is>
          <t>03/25/2025</t>
        </is>
      </c>
      <c r="E20" s="33" t="n">
        <v>15</v>
      </c>
      <c r="F20" s="65" t="inlineStr">
        <is>
          <t>Yes</t>
        </is>
      </c>
      <c r="G20" s="19" t="inlineStr">
        <is>
          <t>New listing photos needed</t>
        </is>
      </c>
      <c r="H20" s="1" t="n"/>
    </row>
    <row r="21" ht="15" customHeight="1">
      <c r="A21" s="1" t="n"/>
      <c r="B21" s="16" t="inlineStr">
        <is>
          <t>3D</t>
        </is>
      </c>
      <c r="C21" s="25" t="inlineStr">
        <is>
          <t>Westchase</t>
        </is>
      </c>
      <c r="D21" s="25" t="inlineStr">
        <is>
          <t>04/01/2025</t>
        </is>
      </c>
      <c r="E21" s="35" t="n">
        <v>8</v>
      </c>
      <c r="F21" s="66" t="inlineStr">
        <is>
          <t>No</t>
        </is>
      </c>
      <c r="G21" s="16" t="inlineStr">
        <is>
          <t>List this week</t>
        </is>
      </c>
      <c r="H21" s="1" t="n"/>
    </row>
    <row r="22" ht="15" customHeight="1">
      <c r="A22" s="1" t="n"/>
      <c r="B22" s="19" t="inlineStr">
        <is>
          <t>5B</t>
        </is>
      </c>
      <c r="C22" s="28" t="inlineStr">
        <is>
          <t>Seminole</t>
        </is>
      </c>
      <c r="D22" s="28" t="inlineStr">
        <is>
          <t>04/05/2025</t>
        </is>
      </c>
      <c r="E22" s="37" t="n">
        <v>4</v>
      </c>
      <c r="F22" s="67" t="inlineStr">
        <is>
          <t>No</t>
        </is>
      </c>
      <c r="G22" s="19" t="inlineStr">
        <is>
          <t>Prep and list by end of week</t>
        </is>
      </c>
      <c r="H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</row>
  </sheetData>
  <mergeCells count="3">
    <mergeCell ref="B5:G5"/>
    <mergeCell ref="B2:G2"/>
    <mergeCell ref="B17:G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A7A5A"/>
    <outlinePr summaryBelow="1" summaryRight="1"/>
    <pageSetUpPr/>
  </sheetPr>
  <dimension ref="A1:I5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2" customWidth="1" min="9" max="9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20" customHeight="1">
      <c r="A2" s="1" t="n"/>
      <c r="B2" s="68" t="inlineStr">
        <is>
          <t>WEEKLY DATA INPUT — Update every Monday by 9AM</t>
        </is>
      </c>
      <c r="I2" s="1" t="n"/>
    </row>
    <row r="3">
      <c r="A3" s="1" t="n"/>
      <c r="B3" s="69" t="inlineStr">
        <is>
          <t>Blue cells = enter data here. Do not edit formula cells (black text).</t>
        </is>
      </c>
      <c r="I3" s="1" t="n"/>
    </row>
    <row r="4" ht="2" customHeight="1">
      <c r="A4" s="1" t="n"/>
      <c r="B4" s="5" t="n"/>
      <c r="C4" s="5" t="n"/>
      <c r="D4" s="5" t="n"/>
      <c r="E4" s="5" t="n"/>
      <c r="F4" s="5" t="n"/>
      <c r="G4" s="5" t="n"/>
      <c r="H4" s="5" t="n"/>
      <c r="I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16" customHeight="1">
      <c r="A6" s="1" t="n"/>
      <c r="B6" s="2" t="inlineStr">
        <is>
          <t>OCCUPANCY DATA</t>
        </is>
      </c>
      <c r="I6" s="1" t="n"/>
    </row>
    <row r="7" ht="16" customHeight="1">
      <c r="A7" s="1" t="n"/>
      <c r="B7" s="14" t="inlineStr">
        <is>
          <t>Property</t>
        </is>
      </c>
      <c r="C7" s="15" t="inlineStr">
        <is>
          <t>Total Units</t>
        </is>
      </c>
      <c r="D7" s="15" t="inlineStr">
        <is>
          <t>Occupied Units</t>
        </is>
      </c>
      <c r="E7" s="15" t="inlineStr">
        <is>
          <t>Vacant Units</t>
        </is>
      </c>
      <c r="F7" s="1" t="n"/>
      <c r="G7" s="1" t="n"/>
      <c r="H7" s="1" t="n"/>
      <c r="I7" s="1" t="n"/>
    </row>
    <row r="8" ht="15" customHeight="1">
      <c r="A8" s="1" t="n"/>
      <c r="B8" s="16" t="inlineStr">
        <is>
          <t>Hillsboro</t>
        </is>
      </c>
      <c r="C8" s="70" t="n">
        <v>18</v>
      </c>
      <c r="D8" s="70" t="n">
        <v>18</v>
      </c>
      <c r="E8" s="70" t="n">
        <v>0</v>
      </c>
      <c r="F8" s="1" t="n"/>
      <c r="G8" s="1" t="n"/>
      <c r="H8" s="1" t="n"/>
      <c r="I8" s="1" t="n"/>
    </row>
    <row r="9" ht="15" customHeight="1">
      <c r="A9" s="1" t="n"/>
      <c r="B9" s="19" t="inlineStr">
        <is>
          <t>Bayshore</t>
        </is>
      </c>
      <c r="C9" s="71" t="n">
        <v>24</v>
      </c>
      <c r="D9" s="71" t="n">
        <v>22</v>
      </c>
      <c r="E9" s="71" t="n">
        <v>2</v>
      </c>
      <c r="F9" s="1" t="n"/>
      <c r="G9" s="1" t="n"/>
      <c r="H9" s="1" t="n"/>
      <c r="I9" s="1" t="n"/>
    </row>
    <row r="10" ht="15" customHeight="1">
      <c r="A10" s="1" t="n"/>
      <c r="B10" s="16" t="inlineStr">
        <is>
          <t>Seminole</t>
        </is>
      </c>
      <c r="C10" s="70" t="n">
        <v>12</v>
      </c>
      <c r="D10" s="70" t="n">
        <v>11</v>
      </c>
      <c r="E10" s="70" t="n">
        <v>1</v>
      </c>
      <c r="F10" s="1" t="n"/>
      <c r="G10" s="1" t="n"/>
      <c r="H10" s="1" t="n"/>
      <c r="I10" s="1" t="n"/>
    </row>
    <row r="11" ht="15" customHeight="1">
      <c r="A11" s="1" t="n"/>
      <c r="B11" s="19" t="inlineStr">
        <is>
          <t>Westchase</t>
        </is>
      </c>
      <c r="C11" s="71" t="n">
        <v>12</v>
      </c>
      <c r="D11" s="71" t="n">
        <v>9</v>
      </c>
      <c r="E11" s="71" t="n">
        <v>3</v>
      </c>
      <c r="F11" s="1" t="n"/>
      <c r="G11" s="1" t="n"/>
      <c r="H11" s="1" t="n"/>
      <c r="I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</row>
    <row r="13" ht="16" customHeight="1">
      <c r="A13" s="1" t="n"/>
      <c r="B13" s="2" t="inlineStr">
        <is>
          <t>REVENUE DATA (enter actual collected this month)</t>
        </is>
      </c>
      <c r="I13" s="1" t="n"/>
    </row>
    <row r="14" ht="16" customHeight="1">
      <c r="A14" s="1" t="n"/>
      <c r="B14" s="14" t="inlineStr">
        <is>
          <t>Property</t>
        </is>
      </c>
      <c r="C14" s="15" t="inlineStr">
        <is>
          <t>Units Occupied</t>
        </is>
      </c>
      <c r="D14" s="15" t="inlineStr">
        <is>
          <t>Rate/Unit</t>
        </is>
      </c>
      <c r="E14" s="15" t="inlineStr">
        <is>
          <t>Actual Revenue</t>
        </is>
      </c>
      <c r="F14" s="15" t="inlineStr">
        <is>
          <t>Projected</t>
        </is>
      </c>
      <c r="G14" s="15" t="inlineStr">
        <is>
          <t>Variance</t>
        </is>
      </c>
      <c r="H14" s="1" t="n"/>
      <c r="I14" s="1" t="n"/>
    </row>
    <row r="15" ht="15" customHeight="1">
      <c r="A15" s="1" t="n"/>
      <c r="B15" s="16" t="inlineStr">
        <is>
          <t>Hillsboro</t>
        </is>
      </c>
      <c r="C15" s="70" t="n">
        <v>18</v>
      </c>
      <c r="D15" s="72" t="n">
        <v>1850</v>
      </c>
      <c r="E15" s="72" t="n">
        <v>33300</v>
      </c>
      <c r="F15" s="73">
        <f>C15*D15</f>
        <v/>
      </c>
      <c r="G15" s="74">
        <f>E15-F15</f>
        <v/>
      </c>
      <c r="H15" s="1" t="n"/>
      <c r="I15" s="1" t="n"/>
    </row>
    <row r="16" ht="15" customHeight="1">
      <c r="A16" s="1" t="n"/>
      <c r="B16" s="19" t="inlineStr">
        <is>
          <t>Bayshore</t>
        </is>
      </c>
      <c r="C16" s="71" t="n">
        <v>22</v>
      </c>
      <c r="D16" s="75" t="n">
        <v>2100</v>
      </c>
      <c r="E16" s="75" t="n">
        <v>46200</v>
      </c>
      <c r="F16" s="76">
        <f>C16*D16</f>
        <v/>
      </c>
      <c r="G16" s="77">
        <f>E16-F16</f>
        <v/>
      </c>
      <c r="H16" s="1" t="n"/>
      <c r="I16" s="1" t="n"/>
    </row>
    <row r="17" ht="15" customHeight="1">
      <c r="A17" s="1" t="n"/>
      <c r="B17" s="16" t="inlineStr">
        <is>
          <t>Seminole</t>
        </is>
      </c>
      <c r="C17" s="70" t="n">
        <v>11</v>
      </c>
      <c r="D17" s="72" t="n">
        <v>1650</v>
      </c>
      <c r="E17" s="72" t="n">
        <v>18150</v>
      </c>
      <c r="F17" s="73">
        <f>C17*D17</f>
        <v/>
      </c>
      <c r="G17" s="74">
        <f>E17-F17</f>
        <v/>
      </c>
      <c r="H17" s="1" t="n"/>
      <c r="I17" s="1" t="n"/>
    </row>
    <row r="18" ht="15" customHeight="1">
      <c r="A18" s="1" t="n"/>
      <c r="B18" s="19" t="inlineStr">
        <is>
          <t>Westchase</t>
        </is>
      </c>
      <c r="C18" s="71" t="n">
        <v>9</v>
      </c>
      <c r="D18" s="75" t="n">
        <v>1950</v>
      </c>
      <c r="E18" s="75" t="n">
        <v>17550</v>
      </c>
      <c r="F18" s="76">
        <f>C18*D18</f>
        <v/>
      </c>
      <c r="G18" s="77">
        <f>E18-F18</f>
        <v/>
      </c>
      <c r="H18" s="1" t="n"/>
      <c r="I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</row>
  </sheetData>
  <mergeCells count="4">
    <mergeCell ref="B13:H13"/>
    <mergeCell ref="B3:H3"/>
    <mergeCell ref="B6:H6"/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2026-04-09T18:41:12Z</dcterms:created>
  <dcterms:modified xmlns:dcterms="http://purl.org/dc/terms/" xmlns:xsi="http://www.w3.org/2001/XMLSchema-instance" xsi:type="dcterms:W3CDTF">2026-04-09T18:41:12Z</dcterms:modified>
</cp:coreProperties>
</file>